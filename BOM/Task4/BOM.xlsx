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 Sheet" sheetId="1" r:id="rId5"/>
  </sheets>
  <definedNames/>
  <calcPr/>
</workbook>
</file>

<file path=xl/sharedStrings.xml><?xml version="1.0" encoding="utf-8"?>
<sst xmlns="http://schemas.openxmlformats.org/spreadsheetml/2006/main" count="115" uniqueCount="114">
  <si>
    <t>Bill of Materials (BOM)</t>
  </si>
  <si>
    <t>Hardware Architecture &amp; Component Sourcing</t>
  </si>
  <si>
    <r>
      <rPr>
        <rFont val="Roboto"/>
        <b/>
        <color rgb="FF1E293A"/>
        <sz val="10.0"/>
      </rPr>
      <t xml:space="preserve">shipping is free from </t>
    </r>
    <r>
      <rPr>
        <rFont val="Roboto"/>
        <b/>
        <color rgb="FF1155CC"/>
        <sz val="10.0"/>
        <u/>
      </rPr>
      <t>robu.in</t>
    </r>
    <r>
      <rPr>
        <rFont val="Roboto"/>
        <b/>
        <color rgb="FF1E293A"/>
        <sz val="10.0"/>
      </rPr>
      <t xml:space="preserve"> for orders above 1k</t>
    </r>
  </si>
  <si>
    <t>For contigency, i took 25% of original total</t>
  </si>
  <si>
    <t>Line Total</t>
  </si>
  <si>
    <t>Shipping Cost</t>
  </si>
  <si>
    <t>Contingency</t>
  </si>
  <si>
    <t>Total Budget</t>
  </si>
  <si>
    <t>Total Quantity</t>
  </si>
  <si>
    <t>Item</t>
  </si>
  <si>
    <t>Exact Model</t>
  </si>
  <si>
    <t>Qty</t>
  </si>
  <si>
    <t>Unit Price</t>
  </si>
  <si>
    <t>Supplier URL</t>
  </si>
  <si>
    <t>Key Specs</t>
  </si>
  <si>
    <t>Selection Reason</t>
  </si>
  <si>
    <t>Alternative</t>
  </si>
  <si>
    <t>Microcontroller</t>
  </si>
  <si>
    <t>ESP32-WROOM-32 DevKit V1 (30-pin)</t>
  </si>
  <si>
    <t>https://robu.in/product/esp32-38pin-development-board-wifibluetooth-ultra-low-power-consumption-dual-core/</t>
  </si>
  <si>
    <t>Dual-Core 240MHz, 520KB SRAM, 4MB Flash, 3.3V logic, Hardware PWM timers</t>
  </si>
  <si>
    <t>Dual core handles simultaneous line-tracking PID and maze shortest-path memory calculation; 1 spare for pit repairs.</t>
  </si>
  <si>
    <t>Raspberry Pi Pico W (Slower dual M0+ core, less RAM for node trees)</t>
  </si>
  <si>
    <t>IR Arrray</t>
  </si>
  <si>
    <t xml:space="preserve">5-Channel TCRT5000 IR Line Tracking Sensor Module
</t>
  </si>
  <si>
    <t>https://robu.in/product/tcrt5000l-5-channel-tracking-sensor-tracking-module-infrared-sensor/</t>
  </si>
  <si>
    <t>5-ch TCRT5000 array, analog &amp; digital outputs, LM393 comparators, trimmers</t>
  </si>
  <si>
    <t>Analog outputs allow software threshold calibration against glossy vinyl surface reflections.</t>
  </si>
  <si>
    <t>3-Channel IR Array (Fewer sensors, unreliable 90° turn sensing)</t>
  </si>
  <si>
    <t>Motors</t>
  </si>
  <si>
    <t>GA12-N20 6V 500RPM Micro DC Reducer Motor Encoder with Wire</t>
  </si>
  <si>
    <t>https://robu.in/product/ga12-n20-6v-500rpm-micro-dc-reducer-motor-encoder-with-wire/</t>
  </si>
  <si>
    <t>6V DC, 500 RPM rated speed, all-metal reduction gearbox, integrated dual-channel incremental quadrature Hall encoder, 3mm D-shaft</t>
  </si>
  <si>
    <t>500 RPM provides high linear speed to minimize actual run time, while quadrature encoder feedback guarantees precise 90° pivot turns without wheel slip</t>
  </si>
  <si>
    <t>N20 6V 100RPM Encoder Motor (High torque but too slow to maximize the time score during the actual run)</t>
  </si>
  <si>
    <t>Motor driver</t>
  </si>
  <si>
    <t>TB6612FNG Dual H-Bridge Motor Driver Module</t>
  </si>
  <si>
    <t>https://robu.in/product/motor-driver-tb6612fng-module-performance-ultra-small-volume-3-pi-matching-performance-ultra-l298n/</t>
  </si>
  <si>
    <t>VM: 4.5V–15V, 1.2A continuous / 3.2A peak, MOSFET H-Bridge, 3.3V logic</t>
  </si>
  <si>
    <t>MOSFET design has negligible voltage drop (~0.2V) and runs cool compared to bipolar drivers.</t>
  </si>
  <si>
    <t>L298N Module (Drops 2V as waste heat, excessively bulky)</t>
  </si>
  <si>
    <t>Battery</t>
  </si>
  <si>
    <t>Orange 7.4V (2S) 1500mAh 25C LiPo Battery Pack</t>
  </si>
  <si>
    <t>https://robu.in/product/orange-1500mah-2s-25c-7-4-v-lithium-polymer-battery-pack-li-po/</t>
  </si>
  <si>
    <t>7.4V nominal (8.4V max), 1500mAh, 25C discharge (37.5A burst), XT60</t>
  </si>
  <si>
    <t>Provides stiff voltage without sagging under sudden motor stall/acceleration; 2 packs allow back-to-back testing.</t>
  </si>
  <si>
    <t>9V Alkaline Battery (High internal resistance, collapses under motor draw)</t>
  </si>
  <si>
    <t>Battery Charger</t>
  </si>
  <si>
    <t>IMAX B3 AC Pro Compact Balance Charger for 2S-3S LiPo</t>
  </si>
  <si>
    <t>https://robu.in/product/b3ac-compact-balance-charger-2s-3s-lipo/</t>
  </si>
  <si>
    <t>AC 100–240V input, 3 x 800mA dedicated balance charging per cell</t>
  </si>
  <si>
    <t>Essential balancer to prevent cell overcharge and protect battery cycle life.</t>
  </si>
  <si>
    <t>Standard DC 9V Adapter (Dangerous for LiPo, causes puffing/fire)</t>
  </si>
  <si>
    <t>Voltage Regulator</t>
  </si>
  <si>
    <t>SmartElex Mini MP1584 DC-DC 3A Adjustable Buck Module</t>
  </si>
  <si>
    <t>https://robu.in/product/mini-mp1584-dc-dc-adjustable-buck-module-3a/</t>
  </si>
  <si>
    <t>Input: 4.5V–28V, Output: Regulated 5.0V, 3A peak, 96% efficiency</t>
  </si>
  <si>
    <t>Highly efficient step-down from 7.4V LiPo to clean 5V for ESP32 and sensor logic.</t>
  </si>
  <si>
    <t>LM2596 Module (Much larger footprint and unnecessary chassis weight)</t>
  </si>
  <si>
    <t>Chassis</t>
  </si>
  <si>
    <t>Line Follower Chassis Compatible with N20 Motor with Clamp (3D Printed, ABS/PETG)</t>
  </si>
  <si>
    <t>https://www.indianhobbycenter.com/products/line-follower-chassis-3d-printed</t>
  </si>
  <si>
    <t>Dimensions: 130 × 129.4 × 3 mm, material: ABS/PETG, includes 2x custom N20 motor mounting clamps, front sensor extension plate</t>
  </si>
  <si>
    <t>Ultra-lightweight and rigid structure dedicated for N20 motors; fits within the 220 X 220 X 220 mm size limit and includes direct clamp hardware.</t>
  </si>
  <si>
    <t>2WD Acrylic Round Chassis Kit (Heavier, generic circular profile without dedicated N20 clamps)</t>
  </si>
  <si>
    <t>Drive Wheels</t>
  </si>
  <si>
    <t>5908 Series Silicone Tire Wheel for N20 Motors (Pair)</t>
  </si>
  <si>
    <t>https://probots.co.in/silicone-tire-wheel-for-n20-motor.html</t>
  </si>
  <si>
    <t>59mm outer diameter, 8mm width, high-grip molded silicone tread, lightweight polycarbonate 5-spoke rim, direct press-fit for 3mm D-shaft N20 motors.</t>
  </si>
  <si>
    <t>High-grade silicone tread maximizes ground friction on vinyl tape, preventing lateral drift/skidding during high-speed sharp 90° maze turns and rapid acceleration.</t>
  </si>
  <si>
    <t>3PI miniQ 42mm Car Wheel Tyre (Lower top speed, but slightly more compact).</t>
  </si>
  <si>
    <t>Support Wheels</t>
  </si>
  <si>
    <t>MINI 3PI Car N20 Caster Robot Ball Wheel</t>
  </si>
  <si>
    <t>https://robu.in/product/mini-3pi-car-n20-caster-robot-ball-wheel/</t>
  </si>
  <si>
    <t>12mm stainless steel 304 ball, 22 × 15 mm enclosure, 10g total weight, 360° omnidirectional rolling contact.</t>
  </si>
  <si>
    <t>Provides smooth omnidirectional 3-point support with zero floor drag; prevents scratching/marking on the arena floor (strictly avoids rule penalties/disqualification).</t>
  </si>
  <si>
    <t>Small Steel Ball Caster Wheel (35mm base plate, slightly bulkier).</t>
  </si>
  <si>
    <t>Main Power Switch</t>
  </si>
  <si>
    <t>KCD3-2-101C SPST Rocker Switch (6A 250V AC)</t>
  </si>
  <si>
    <t>https://robu.in/product/kcd3-2-101c-rocker-switch-spst-3pinon-off/</t>
  </si>
  <si>
    <t>Single Pole Single Throw (SPST) ON-OFF rocker switch, rated up to 6A/250VAC, snap-in panel mounting.</t>
  </si>
  <si>
    <t>Fulfills Techfest single main power switch rule; handles high discharge current (25C LiPo burst) without contact arc or voltage drop.</t>
  </si>
  <si>
    <t>Heavy Duty Toggle Switch (Bulkier).</t>
  </si>
  <si>
    <t>Main Power Wiring</t>
  </si>
  <si>
    <t>22AWG High Quality Ultra Flexible Silicone Wire (Black)</t>
  </si>
  <si>
    <t>https://robu.in/product/high-quality-ultra-flexible-22awg-silicone-wire-1000m-black/</t>
  </si>
  <si>
    <t>Multi-strand tinned copper conductor, high-temp flexible silicone rubber insulation (-60°C to +200°C), 22AWG thickness.</t>
  </si>
  <si>
    <t>Flexible silicone wire doesn't snap under chassis vibration and soldered connections won't melt during high current draw from LiPo battery.</t>
  </si>
  <si>
    <t>Standard 24AWG PVC Hookup Wire (Brittle, melts easily during soldering).</t>
  </si>
  <si>
    <t>Red End LED</t>
  </si>
  <si>
    <t>Cree 5mm Ultra-Bright Red DIP LED (C503B-RAN)</t>
  </si>
  <si>
    <t>https://robu.in/product/c503b-ran-cz0c0aa1-cree-led-c503b-ran-cz0c0aa1-led-5mm-red-32-9cd-624nm/</t>
  </si>
  <si>
    <t>5mm clear round lens, 624nm wavelength, 32,900 mcd (ultra-bright output), 2.1V forward voltage.</t>
  </si>
  <si>
    <t>Highly visible ultra-bright red output ensures judge confirmation on the 400mm x 400mm end zone box to earn the +5 points bonus.</t>
  </si>
  <si>
    <t>Standard 5mm Diffused Red LED (Duller brightness).</t>
  </si>
  <si>
    <t>LED Resistor</t>
  </si>
  <si>
    <t>220 Ohm Carbon Film Resistor (Multicomp Pro 220Ω)</t>
  </si>
  <si>
    <t>https://robu.in/product/mccfr0w8j0221a20-multicomp-pro-carbon-film-resistor-220-ohm-125mw-5/</t>
  </si>
  <si>
    <t>220Ω resistance, ±5% tolerance, 125mW power rating, axial leaded.</t>
  </si>
  <si>
    <t>Safely limits current from a 5V/3.3V microcontroller digital output pin to protect both the LED and MCU.</t>
  </si>
  <si>
    <t>330 Ohm Carbon Film Resistor (Slightly dimmer output).</t>
  </si>
  <si>
    <t>Jumper Wires (F-F)</t>
  </si>
  <si>
    <t>10CM Female to Female Breadboard Jumper DuPont Cable (40 Pcs)</t>
  </si>
  <si>
    <t>https://robu.in/product/10cm-female-female-breadboard-jumper-dupont-2-54mm-1p-1p-cable-40-pcs/</t>
  </si>
  <si>
    <t>10cm length, 2.54mm pitch 1P-1P female header at both ends, 40-pin detachable ribbon cable.</t>
  </si>
  <si>
    <t>Short 10cm length keeps chassis wiring neat without excess wire loops; ideal for connecting ESP32 to TB6612FNG &amp; Buck module.</t>
  </si>
  <si>
    <t>20cm Female to Female Jumper Wires (Longer, creates wire mess).</t>
  </si>
  <si>
    <t>Jumper Wires (M-F)</t>
  </si>
  <si>
    <t>Male To Female Jumper Wires 40 Pcs 10cm</t>
  </si>
  <si>
    <t>https://robu.in/product/male-to-female-jumper-wires-40-pcs-10cm/</t>
  </si>
  <si>
    <t>10cm length, 2.54mm pitch 1P male pin to 1P female header, 40-pin detachable ribbon cable.</t>
  </si>
  <si>
    <t>Needed for connecting male headers (like sensor arrays or MCU breadboard pins) directly to female module pins.</t>
  </si>
  <si>
    <t>Male to Male Jumper Wires (Only used for breadboards).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</si>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</sst>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₹&quot;#,##0.00"/>
    <numFmt numFmtId="165" formatCode="0.0%"/>
  </numFmts>
  <fonts count="22">
    <font>
      <sz val="10.0"/>
      <color rgb="FF000000"/>
      <name val="Arial"/>
      <scheme val="minor"/>
    </font>
    <font>
      <b/>
      <sz val="16.0"/>
      <color rgb="FF1E3989"/>
      <name val="Roboto"/>
    </font>
    <font>
      <sz val="10.0"/>
      <color rgb="FF1E293A"/>
      <name val="Roboto"/>
    </font>
    <font>
      <i/>
      <sz val="10.0"/>
      <color rgb="FF63748A"/>
      <name val="Roboto"/>
    </font>
    <font>
      <b/>
      <u/>
      <sz val="10.0"/>
      <color rgb="FF1E293A"/>
      <name val="Roboto"/>
    </font>
    <font>
      <color theme="1"/>
      <name val="Roboto"/>
    </font>
    <font>
      <b/>
      <sz val="10.0"/>
      <color rgb="FF1E293A"/>
      <name val="Roboto"/>
    </font>
    <font>
      <b/>
      <sz val="9.0"/>
      <color rgb="FF63748A"/>
      <name val="Roboto"/>
    </font>
    <font>
      <b/>
      <sz val="9.0"/>
      <color rgb="FFFFFFFF"/>
      <name val="Roboto"/>
    </font>
    <font>
      <b/>
      <sz val="15.0"/>
      <color rgb="FF1E3989"/>
      <name val="Roboto"/>
    </font>
    <font>
      <b/>
      <sz val="15.0"/>
      <color rgb="FFFFFFFF"/>
      <name val="Roboto"/>
    </font>
    <font>
      <b/>
      <sz val="12.0"/>
      <color rgb="FFFFFFFF"/>
      <name val="Roboto"/>
    </font>
    <font>
      <u/>
      <sz val="10.0"/>
      <color rgb="FF1D62D6"/>
      <name val="Roboto"/>
    </font>
    <font>
      <sz val="10.0"/>
      <color theme="1"/>
      <name val="Roboto"/>
    </font>
    <font>
      <u/>
      <sz val="10.0"/>
      <color rgb="FF1D62D6"/>
      <name val="Roboto"/>
    </font>
    <font>
      <u/>
      <sz val="10.0"/>
      <color rgb="FF1D62D6"/>
      <name val="Roboto"/>
    </font>
    <font>
      <b/>
      <sz val="10.0"/>
      <color theme="1"/>
      <name val="Roboto"/>
    </font>
    <font>
      <u/>
      <sz val="10.0"/>
      <color rgb="FF1155CC"/>
      <name val="Roboto"/>
    </font>
    <font>
      <u/>
      <sz val="10.0"/>
      <color rgb="FF1155CC"/>
      <name val="Roboto"/>
    </font>
    <font>
      <b/>
      <sz val="10.0"/>
      <color rgb="FF1F1F1F"/>
      <name val="Roboto"/>
    </font>
    <font>
      <sz val="10.0"/>
      <color rgb="FF1F1F1F"/>
      <name val="Roboto"/>
    </font>
    <font>
      <b/>
      <sz val="11.0"/>
      <color rgb="FF1E293A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0F5F8"/>
        <bgColor rgb="FFF0F5F8"/>
      </patternFill>
    </fill>
    <fill>
      <patternFill patternType="solid">
        <fgColor rgb="FFFFFFFF"/>
        <bgColor rgb="FFFFFFFF"/>
      </patternFill>
    </fill>
    <fill>
      <patternFill patternType="solid">
        <fgColor rgb="FF1E3989"/>
        <bgColor rgb="FF1E3989"/>
      </patternFill>
    </fill>
    <fill>
      <patternFill patternType="solid">
        <fgColor theme="0"/>
        <bgColor theme="0"/>
      </patternFill>
    </fill>
    <fill>
      <patternFill patternType="solid">
        <fgColor rgb="FFF8F9FB"/>
        <bgColor rgb="FFF8F9FB"/>
      </patternFill>
    </fill>
  </fills>
  <borders count="3">
    <border/>
    <border>
      <left style="thin">
        <color rgb="FFCAD4E0"/>
      </left>
      <right style="thin">
        <color rgb="FFCAD4E0"/>
      </right>
      <top style="thin">
        <color rgb="FFCAD4E0"/>
      </top>
      <bottom style="thin">
        <color rgb="FFCAD4E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5" numFmtId="0" xfId="0" applyFont="1"/>
    <xf borderId="0" fillId="0" fontId="6" numFmtId="0" xfId="0" applyAlignment="1" applyFont="1">
      <alignment readingOrder="0"/>
    </xf>
    <xf borderId="1" fillId="2" fontId="7" numFmtId="0" xfId="0" applyAlignment="1" applyBorder="1" applyFill="1" applyFont="1">
      <alignment horizontal="center" readingOrder="0" vertical="center"/>
    </xf>
    <xf borderId="1" fillId="3" fontId="7" numFmtId="0" xfId="0" applyAlignment="1" applyBorder="1" applyFill="1" applyFont="1">
      <alignment horizontal="center" readingOrder="0" shrinkToFit="0" vertical="center" wrapText="1"/>
    </xf>
    <xf borderId="1" fillId="3" fontId="8" numFmtId="0" xfId="0" applyAlignment="1" applyBorder="1" applyFill="1" applyFont="1">
      <alignment horizontal="center" readingOrder="0" vertical="center"/>
    </xf>
    <xf borderId="1" fillId="2" fontId="9" numFmtId="164" xfId="0" applyAlignment="1" applyBorder="1" applyFill="1" applyFont="1" applyNumberFormat="1">
      <alignment horizontal="center" vertical="center"/>
    </xf>
    <xf borderId="1" fillId="2" fontId="9" numFmtId="164" xfId="0" applyAlignment="1" applyBorder="1" applyFill="1" applyFont="1" applyNumberFormat="1">
      <alignment horizontal="center" readingOrder="0" vertical="center"/>
    </xf>
    <xf borderId="1" fillId="2" fontId="9" numFmtId="3" xfId="0" applyAlignment="1" applyBorder="1" applyFill="1" applyFont="1" applyNumberFormat="1">
      <alignment horizontal="center" vertical="center"/>
    </xf>
    <xf borderId="1" fillId="3" fontId="9" numFmtId="3" xfId="0" applyAlignment="1" applyBorder="1" applyFill="1" applyFont="1" applyNumberFormat="1">
      <alignment horizontal="center" shrinkToFit="0" vertical="center" wrapText="1"/>
    </xf>
    <xf borderId="1" fillId="3" fontId="10" numFmtId="165" xfId="0" applyAlignment="1" applyBorder="1" applyFill="1" applyFont="1" applyNumberFormat="1">
      <alignment horizontal="center" vertical="center"/>
    </xf>
    <xf borderId="2" fillId="4" fontId="11" numFmtId="0" xfId="0" applyAlignment="1" applyBorder="1" applyFill="1" applyFont="1">
      <alignment readingOrder="0" vertical="center"/>
    </xf>
    <xf borderId="2" fillId="4" fontId="11" numFmtId="0" xfId="0" applyAlignment="1" applyBorder="1" applyFill="1" applyFont="1">
      <alignment horizontal="right" readingOrder="0" vertical="center"/>
    </xf>
    <xf borderId="2" fillId="4" fontId="11" numFmtId="0" xfId="0" applyAlignment="1" applyBorder="1" applyFill="1" applyFont="1">
      <alignment readingOrder="0" shrinkToFit="0" vertical="center" wrapText="1"/>
    </xf>
    <xf borderId="2" fillId="5" fontId="6" numFmtId="0" xfId="0" applyAlignment="1" applyBorder="1" applyFill="1" applyFont="1">
      <alignment horizontal="left" readingOrder="0" vertical="center"/>
    </xf>
    <xf borderId="2" fillId="5" fontId="2" numFmtId="0" xfId="0" applyAlignment="1" applyBorder="1" applyFill="1" applyFont="1">
      <alignment horizontal="left" readingOrder="0" vertical="center"/>
    </xf>
    <xf borderId="2" fillId="5" fontId="2" numFmtId="3" xfId="0" applyAlignment="1" applyBorder="1" applyFill="1" applyFont="1" applyNumberFormat="1">
      <alignment horizontal="right" readingOrder="0" vertical="center"/>
    </xf>
    <xf borderId="2" fillId="5" fontId="2" numFmtId="164" xfId="0" applyAlignment="1" applyBorder="1" applyFill="1" applyFont="1" applyNumberFormat="1">
      <alignment horizontal="right" readingOrder="0" vertical="center"/>
    </xf>
    <xf borderId="2" fillId="5" fontId="2" numFmtId="164" xfId="0" applyAlignment="1" applyBorder="1" applyFill="1" applyFont="1" applyNumberFormat="1">
      <alignment horizontal="right" vertical="center"/>
    </xf>
    <xf borderId="2" fillId="5" fontId="12" numFmtId="0" xfId="0" applyAlignment="1" applyBorder="1" applyFill="1" applyFont="1">
      <alignment horizontal="left" readingOrder="0" vertical="center"/>
    </xf>
    <xf borderId="2" fillId="5" fontId="2" numFmtId="0" xfId="0" applyAlignment="1" applyBorder="1" applyFill="1" applyFont="1">
      <alignment horizontal="left" readingOrder="0" shrinkToFit="0" vertical="center" wrapText="1"/>
    </xf>
    <xf borderId="2" fillId="5" fontId="13" numFmtId="0" xfId="0" applyAlignment="1" applyBorder="1" applyFill="1" applyFont="1">
      <alignment readingOrder="0" shrinkToFit="0" wrapText="1"/>
    </xf>
    <xf borderId="2" fillId="6" fontId="6" numFmtId="0" xfId="0" applyAlignment="1" applyBorder="1" applyFill="1" applyFont="1">
      <alignment horizontal="left" readingOrder="0" vertical="center"/>
    </xf>
    <xf borderId="2" fillId="6" fontId="2" numFmtId="0" xfId="0" applyAlignment="1" applyBorder="1" applyFill="1" applyFont="1">
      <alignment horizontal="left" readingOrder="0" vertical="center"/>
    </xf>
    <xf borderId="2" fillId="6" fontId="2" numFmtId="3" xfId="0" applyAlignment="1" applyBorder="1" applyFill="1" applyFont="1" applyNumberFormat="1">
      <alignment horizontal="right" readingOrder="0" vertical="center"/>
    </xf>
    <xf borderId="2" fillId="6" fontId="2" numFmtId="164" xfId="0" applyAlignment="1" applyBorder="1" applyFill="1" applyFont="1" applyNumberFormat="1">
      <alignment horizontal="right" readingOrder="0" vertical="center"/>
    </xf>
    <xf borderId="2" fillId="6" fontId="2" numFmtId="164" xfId="0" applyAlignment="1" applyBorder="1" applyFill="1" applyFont="1" applyNumberFormat="1">
      <alignment horizontal="right" vertical="center"/>
    </xf>
    <xf borderId="2" fillId="6" fontId="14" numFmtId="0" xfId="0" applyAlignment="1" applyBorder="1" applyFill="1" applyFont="1">
      <alignment horizontal="left" readingOrder="0" vertical="center"/>
    </xf>
    <xf borderId="2" fillId="6" fontId="2" numFmtId="0" xfId="0" applyAlignment="1" applyBorder="1" applyFill="1" applyFont="1">
      <alignment horizontal="left" readingOrder="0" shrinkToFit="0" vertical="center" wrapText="1"/>
    </xf>
    <xf borderId="2" fillId="5" fontId="15" numFmtId="0" xfId="0" applyAlignment="1" applyBorder="1" applyFill="1" applyFont="1">
      <alignment horizontal="left" readingOrder="0" vertical="center"/>
    </xf>
    <xf borderId="2" fillId="5" fontId="16" numFmtId="0" xfId="0" applyAlignment="1" applyBorder="1" applyFill="1" applyFont="1">
      <alignment vertical="center"/>
    </xf>
    <xf borderId="2" fillId="5" fontId="13" numFmtId="0" xfId="0" applyAlignment="1" applyBorder="1" applyFill="1" applyFont="1">
      <alignment vertical="bottom"/>
    </xf>
    <xf borderId="2" fillId="5" fontId="17" numFmtId="0" xfId="0" applyAlignment="1" applyBorder="1" applyFill="1" applyFont="1">
      <alignment vertical="bottom"/>
    </xf>
    <xf borderId="2" fillId="5" fontId="13" numFmtId="0" xfId="0" applyAlignment="1" applyBorder="1" applyFill="1" applyFont="1">
      <alignment shrinkToFit="0" vertical="bottom" wrapText="1"/>
    </xf>
    <xf borderId="2" fillId="6" fontId="16" numFmtId="0" xfId="0" applyAlignment="1" applyBorder="1" applyFill="1" applyFont="1">
      <alignment vertical="center"/>
    </xf>
    <xf borderId="2" fillId="6" fontId="13" numFmtId="0" xfId="0" applyAlignment="1" applyBorder="1" applyFill="1" applyFont="1">
      <alignment vertical="bottom"/>
    </xf>
    <xf borderId="2" fillId="6" fontId="18" numFmtId="0" xfId="0" applyAlignment="1" applyBorder="1" applyFill="1" applyFont="1">
      <alignment vertical="bottom"/>
    </xf>
    <xf borderId="2" fillId="6" fontId="13" numFmtId="0" xfId="0" applyAlignment="1" applyBorder="1" applyFill="1" applyFont="1">
      <alignment shrinkToFit="0" vertical="bottom" wrapText="1"/>
    </xf>
    <xf borderId="2" fillId="5" fontId="19" numFmtId="0" xfId="0" applyAlignment="1" applyBorder="1" applyFill="1" applyFont="1">
      <alignment vertical="center"/>
    </xf>
    <xf borderId="2" fillId="5" fontId="20" numFmtId="0" xfId="0" applyAlignment="1" applyBorder="1" applyFill="1" applyFont="1">
      <alignment vertical="bottom"/>
    </xf>
    <xf borderId="2" fillId="6" fontId="19" numFmtId="0" xfId="0" applyAlignment="1" applyBorder="1" applyFill="1" applyFont="1">
      <alignment vertical="center"/>
    </xf>
    <xf borderId="2" fillId="6" fontId="20" numFmtId="0" xfId="0" applyAlignment="1" applyBorder="1" applyFill="1" applyFont="1">
      <alignment vertical="bottom"/>
    </xf>
    <xf borderId="2" fillId="5" fontId="21" numFmtId="0" xfId="0" applyAlignment="1" applyBorder="1" applyFill="1" applyFont="1">
      <alignment readingOrder="0" vertical="center"/>
    </xf>
    <xf borderId="2" fillId="5" fontId="21" numFmtId="0" xfId="0" applyAlignment="1" applyBorder="1" applyFill="1" applyFont="1">
      <alignment vertical="center"/>
    </xf>
    <xf borderId="2" fillId="5" fontId="21" numFmtId="3" xfId="0" applyAlignment="1" applyBorder="1" applyFill="1" applyFont="1" applyNumberFormat="1">
      <alignment horizontal="right" vertical="center"/>
    </xf>
    <xf borderId="2" fillId="5" fontId="21" numFmtId="164" xfId="0" applyAlignment="1" applyBorder="1" applyFill="1" applyFont="1" applyNumberFormat="1">
      <alignment horizontal="right" vertical="center"/>
    </xf>
    <xf borderId="2" fillId="5" fontId="6" numFmtId="0" xfId="0" applyAlignment="1" applyBorder="1" applyFill="1" applyFont="1">
      <alignment vertical="center"/>
    </xf>
    <xf borderId="2" fillId="5" fontId="6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robu.in/product/mini-3pi-car-n20-caster-robot-ball-wheel/" TargetMode="External"/><Relationship Id="rId10" Type="http://schemas.openxmlformats.org/officeDocument/2006/relationships/hyperlink" Target="https://probots.co.in/silicone-tire-wheel-for-n20-motor.html" TargetMode="External"/><Relationship Id="rId13" Type="http://schemas.openxmlformats.org/officeDocument/2006/relationships/hyperlink" Target="https://robu.in/product/high-quality-ultra-flexible-22awg-silicone-wire-1000m-black/" TargetMode="External"/><Relationship Id="rId12" Type="http://schemas.openxmlformats.org/officeDocument/2006/relationships/hyperlink" Target="https://robu.in/product/kcd3-2-101c-rocker-switch-spst-3pinon-off/" TargetMode="External"/><Relationship Id="rId1" Type="http://schemas.openxmlformats.org/officeDocument/2006/relationships/hyperlink" Target="http://robu.in/" TargetMode="External"/><Relationship Id="rId2" Type="http://schemas.openxmlformats.org/officeDocument/2006/relationships/hyperlink" Target="https://robu.in/product/esp32-38pin-development-board-wifibluetooth-ultra-low-power-consumption-dual-core/" TargetMode="External"/><Relationship Id="rId3" Type="http://schemas.openxmlformats.org/officeDocument/2006/relationships/hyperlink" Target="https://robu.in/product/tcrt5000l-5-channel-tracking-sensor-tracking-module-infrared-sensor/" TargetMode="External"/><Relationship Id="rId4" Type="http://schemas.openxmlformats.org/officeDocument/2006/relationships/hyperlink" Target="https://robu.in/product/ga12-n20-6v-500rpm-micro-dc-reducer-motor-encoder-with-wire/" TargetMode="External"/><Relationship Id="rId9" Type="http://schemas.openxmlformats.org/officeDocument/2006/relationships/hyperlink" Target="https://www.indianhobbycenter.com/products/line-follower-chassis-3d-printed" TargetMode="External"/><Relationship Id="rId15" Type="http://schemas.openxmlformats.org/officeDocument/2006/relationships/hyperlink" Target="https://robu.in/product/mccfr0w8j0221a20-multicomp-pro-carbon-film-resistor-220-ohm-125mw-5/" TargetMode="External"/><Relationship Id="rId14" Type="http://schemas.openxmlformats.org/officeDocument/2006/relationships/hyperlink" Target="https://robu.in/product/c503b-ran-cz0c0aa1-cree-led-c503b-ran-cz0c0aa1-led-5mm-red-32-9cd-624nm/" TargetMode="External"/><Relationship Id="rId17" Type="http://schemas.openxmlformats.org/officeDocument/2006/relationships/hyperlink" Target="https://robu.in/product/male-to-female-jumper-wires-40-pcs-10cm/" TargetMode="External"/><Relationship Id="rId16" Type="http://schemas.openxmlformats.org/officeDocument/2006/relationships/hyperlink" Target="https://robu.in/product/10cm-female-female-breadboard-jumper-dupont-2-54mm-1p-1p-cable-40-pcs/" TargetMode="External"/><Relationship Id="rId5" Type="http://schemas.openxmlformats.org/officeDocument/2006/relationships/hyperlink" Target="https://robu.in/product/motor-driver-tb6612fng-module-performance-ultra-small-volume-3-pi-matching-performance-ultra-l298n/" TargetMode="External"/><Relationship Id="rId6" Type="http://schemas.openxmlformats.org/officeDocument/2006/relationships/hyperlink" Target="https://robu.in/product/orange-1500mah-2s-25c-7-4-v-lithium-polymer-battery-pack-li-po/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robu.in/product/b3ac-compact-balance-charger-2s-3s-lipo/" TargetMode="External"/><Relationship Id="rId8" Type="http://schemas.openxmlformats.org/officeDocument/2006/relationships/hyperlink" Target="https://robu.in/product/mini-mp1584-dc-dc-adjustable-buck-module-3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2.63" defaultRowHeight="15.75"/>
  <cols>
    <col customWidth="1" min="1" max="1" width="51.5"/>
    <col customWidth="1" min="2" max="2" width="79.38"/>
    <col customWidth="1" min="3" max="3" width="10.5"/>
    <col customWidth="1" min="4" max="4" width="11.25"/>
    <col customWidth="1" min="5" max="5" width="12.25"/>
    <col customWidth="1" min="6" max="6" width="20.38"/>
    <col customWidth="1" min="7" max="7" width="103.13"/>
    <col customWidth="1" min="8" max="8" width="121.0"/>
    <col customWidth="1" min="9" max="9" width="63.75"/>
  </cols>
  <sheetData>
    <row r="1">
      <c r="A1" s="1" t="s">
        <v>0</v>
      </c>
      <c r="B1" s="1"/>
      <c r="C1" s="1"/>
      <c r="D1" s="1"/>
      <c r="E1" s="1"/>
      <c r="F1" s="1"/>
      <c r="G1" s="2"/>
      <c r="H1" s="3"/>
      <c r="I1" s="3"/>
    </row>
    <row r="2">
      <c r="A2" s="4" t="s">
        <v>1</v>
      </c>
      <c r="B2" s="5"/>
      <c r="C2" s="6" t="s">
        <v>2</v>
      </c>
      <c r="D2" s="5"/>
      <c r="E2" s="5"/>
      <c r="F2" s="5"/>
      <c r="G2" s="7"/>
      <c r="H2" s="8"/>
      <c r="I2" s="8"/>
    </row>
    <row r="3">
      <c r="A3" s="8"/>
      <c r="B3" s="8"/>
      <c r="C3" s="9"/>
      <c r="D3" s="10" t="s">
        <v>3</v>
      </c>
      <c r="E3" s="8"/>
      <c r="F3" s="8"/>
      <c r="G3" s="7"/>
      <c r="H3" s="8"/>
      <c r="I3" s="8"/>
    </row>
    <row r="4" ht="16.5" customHeight="1">
      <c r="A4" s="8"/>
      <c r="B4" s="11" t="s">
        <v>4</v>
      </c>
      <c r="C4" s="11" t="s">
        <v>5</v>
      </c>
      <c r="D4" s="11" t="s">
        <v>6</v>
      </c>
      <c r="E4" s="11" t="s">
        <v>7</v>
      </c>
      <c r="F4" s="11" t="s">
        <v>8</v>
      </c>
      <c r="G4" s="12"/>
      <c r="H4" s="13"/>
      <c r="I4" s="8"/>
    </row>
    <row r="5" ht="25.5" customHeight="1">
      <c r="A5" s="8"/>
      <c r="B5" s="14">
        <f>SUM(E8:E23)</f>
        <v>6597.1</v>
      </c>
      <c r="C5" s="15">
        <v>200.0</v>
      </c>
      <c r="D5" s="14">
        <f>ROUND(B5*0.25, 2)</f>
        <v>1649.28</v>
      </c>
      <c r="E5" s="14">
        <f>B5+C5+D5</f>
        <v>8446.38</v>
      </c>
      <c r="F5" s="16">
        <f>SUM(C8:C23)</f>
        <v>32</v>
      </c>
      <c r="G5" s="17"/>
      <c r="H5" s="18"/>
      <c r="I5" s="8"/>
    </row>
    <row r="6">
      <c r="A6" s="8"/>
      <c r="B6" s="8"/>
      <c r="C6" s="8"/>
      <c r="D6" s="8"/>
      <c r="E6" s="8"/>
      <c r="F6" s="8"/>
      <c r="G6" s="7"/>
      <c r="H6" s="8"/>
      <c r="I6" s="8"/>
    </row>
    <row r="7" ht="25.5" customHeight="1">
      <c r="A7" s="19" t="s">
        <v>9</v>
      </c>
      <c r="B7" s="19" t="s">
        <v>10</v>
      </c>
      <c r="C7" s="20" t="s">
        <v>11</v>
      </c>
      <c r="D7" s="20" t="s">
        <v>12</v>
      </c>
      <c r="E7" s="20" t="s">
        <v>4</v>
      </c>
      <c r="F7" s="19" t="s">
        <v>13</v>
      </c>
      <c r="G7" s="21" t="s">
        <v>14</v>
      </c>
      <c r="H7" s="19" t="s">
        <v>15</v>
      </c>
      <c r="I7" s="19" t="s">
        <v>16</v>
      </c>
    </row>
    <row r="8">
      <c r="A8" s="22" t="s">
        <v>17</v>
      </c>
      <c r="B8" s="23" t="s">
        <v>18</v>
      </c>
      <c r="C8" s="24">
        <v>2.0</v>
      </c>
      <c r="D8" s="25">
        <v>449.0</v>
      </c>
      <c r="E8" s="26">
        <f t="shared" ref="E8:E23" si="1">IF(OR(ISBLANK(C8),ISBLANK(D8)),"",C8*D8)</f>
        <v>898</v>
      </c>
      <c r="F8" s="27" t="s">
        <v>19</v>
      </c>
      <c r="G8" s="28" t="s">
        <v>20</v>
      </c>
      <c r="H8" s="28" t="s">
        <v>21</v>
      </c>
      <c r="I8" s="29" t="s">
        <v>22</v>
      </c>
    </row>
    <row r="9">
      <c r="A9" s="30" t="s">
        <v>23</v>
      </c>
      <c r="B9" s="31" t="s">
        <v>24</v>
      </c>
      <c r="C9" s="32">
        <v>2.0</v>
      </c>
      <c r="D9" s="33">
        <v>209.0</v>
      </c>
      <c r="E9" s="34">
        <f t="shared" si="1"/>
        <v>418</v>
      </c>
      <c r="F9" s="35" t="s">
        <v>25</v>
      </c>
      <c r="G9" s="36" t="s">
        <v>26</v>
      </c>
      <c r="H9" s="36" t="s">
        <v>27</v>
      </c>
      <c r="I9" s="36" t="s">
        <v>28</v>
      </c>
    </row>
    <row r="10">
      <c r="A10" s="22" t="s">
        <v>29</v>
      </c>
      <c r="B10" s="23" t="s">
        <v>30</v>
      </c>
      <c r="C10" s="24">
        <v>2.0</v>
      </c>
      <c r="D10" s="25">
        <v>619.0</v>
      </c>
      <c r="E10" s="26">
        <f t="shared" si="1"/>
        <v>1238</v>
      </c>
      <c r="F10" s="37" t="s">
        <v>31</v>
      </c>
      <c r="G10" s="28" t="s">
        <v>32</v>
      </c>
      <c r="H10" s="28" t="s">
        <v>33</v>
      </c>
      <c r="I10" s="28" t="s">
        <v>34</v>
      </c>
    </row>
    <row r="11">
      <c r="A11" s="30" t="s">
        <v>35</v>
      </c>
      <c r="B11" s="31" t="s">
        <v>36</v>
      </c>
      <c r="C11" s="32">
        <v>2.0</v>
      </c>
      <c r="D11" s="33">
        <v>149.0</v>
      </c>
      <c r="E11" s="34">
        <f t="shared" si="1"/>
        <v>298</v>
      </c>
      <c r="F11" s="35" t="s">
        <v>37</v>
      </c>
      <c r="G11" s="36" t="s">
        <v>38</v>
      </c>
      <c r="H11" s="36" t="s">
        <v>39</v>
      </c>
      <c r="I11" s="36" t="s">
        <v>40</v>
      </c>
    </row>
    <row r="12">
      <c r="A12" s="22" t="s">
        <v>41</v>
      </c>
      <c r="B12" s="23" t="s">
        <v>42</v>
      </c>
      <c r="C12" s="24">
        <v>2.0</v>
      </c>
      <c r="D12" s="25">
        <v>1239.0</v>
      </c>
      <c r="E12" s="26">
        <f t="shared" si="1"/>
        <v>2478</v>
      </c>
      <c r="F12" s="27" t="s">
        <v>43</v>
      </c>
      <c r="G12" s="28" t="s">
        <v>44</v>
      </c>
      <c r="H12" s="28" t="s">
        <v>45</v>
      </c>
      <c r="I12" s="28" t="s">
        <v>46</v>
      </c>
    </row>
    <row r="13">
      <c r="A13" s="30" t="s">
        <v>47</v>
      </c>
      <c r="B13" s="31" t="s">
        <v>48</v>
      </c>
      <c r="C13" s="32">
        <v>1.0</v>
      </c>
      <c r="D13" s="33">
        <v>349.0</v>
      </c>
      <c r="E13" s="34">
        <f t="shared" si="1"/>
        <v>349</v>
      </c>
      <c r="F13" s="35" t="s">
        <v>49</v>
      </c>
      <c r="G13" s="36" t="s">
        <v>50</v>
      </c>
      <c r="H13" s="36" t="s">
        <v>51</v>
      </c>
      <c r="I13" s="36" t="s">
        <v>52</v>
      </c>
    </row>
    <row r="14">
      <c r="A14" s="22" t="s">
        <v>53</v>
      </c>
      <c r="B14" s="23" t="s">
        <v>54</v>
      </c>
      <c r="C14" s="24">
        <v>2.0</v>
      </c>
      <c r="D14" s="25">
        <v>105.0</v>
      </c>
      <c r="E14" s="26">
        <f t="shared" si="1"/>
        <v>210</v>
      </c>
      <c r="F14" s="27" t="s">
        <v>55</v>
      </c>
      <c r="G14" s="28" t="s">
        <v>56</v>
      </c>
      <c r="H14" s="28" t="s">
        <v>57</v>
      </c>
      <c r="I14" s="28" t="s">
        <v>58</v>
      </c>
    </row>
    <row r="15">
      <c r="A15" s="30" t="s">
        <v>59</v>
      </c>
      <c r="B15" s="31" t="s">
        <v>60</v>
      </c>
      <c r="C15" s="32">
        <v>1.0</v>
      </c>
      <c r="D15" s="33">
        <v>169.0</v>
      </c>
      <c r="E15" s="34">
        <f t="shared" si="1"/>
        <v>169</v>
      </c>
      <c r="F15" s="35" t="s">
        <v>61</v>
      </c>
      <c r="G15" s="36" t="s">
        <v>62</v>
      </c>
      <c r="H15" s="36" t="s">
        <v>63</v>
      </c>
      <c r="I15" s="36" t="s">
        <v>64</v>
      </c>
    </row>
    <row r="16">
      <c r="A16" s="22" t="s">
        <v>65</v>
      </c>
      <c r="B16" s="23" t="s">
        <v>66</v>
      </c>
      <c r="C16" s="24">
        <v>2.0</v>
      </c>
      <c r="D16" s="25">
        <v>169.0</v>
      </c>
      <c r="E16" s="26">
        <f t="shared" si="1"/>
        <v>338</v>
      </c>
      <c r="F16" s="37" t="s">
        <v>67</v>
      </c>
      <c r="G16" s="28" t="s">
        <v>68</v>
      </c>
      <c r="H16" s="28" t="s">
        <v>69</v>
      </c>
      <c r="I16" s="28" t="s">
        <v>70</v>
      </c>
    </row>
    <row r="17">
      <c r="A17" s="30" t="s">
        <v>71</v>
      </c>
      <c r="B17" s="31" t="s">
        <v>72</v>
      </c>
      <c r="C17" s="32">
        <v>1.0</v>
      </c>
      <c r="D17" s="33">
        <v>39.0</v>
      </c>
      <c r="E17" s="34">
        <f t="shared" si="1"/>
        <v>39</v>
      </c>
      <c r="F17" s="35" t="s">
        <v>73</v>
      </c>
      <c r="G17" s="36" t="s">
        <v>74</v>
      </c>
      <c r="H17" s="36" t="s">
        <v>75</v>
      </c>
      <c r="I17" s="36" t="s">
        <v>76</v>
      </c>
    </row>
    <row r="18">
      <c r="A18" s="38" t="s">
        <v>77</v>
      </c>
      <c r="B18" s="39" t="s">
        <v>78</v>
      </c>
      <c r="C18" s="24">
        <v>1.0</v>
      </c>
      <c r="D18" s="25">
        <v>13.0</v>
      </c>
      <c r="E18" s="26">
        <f t="shared" si="1"/>
        <v>13</v>
      </c>
      <c r="F18" s="40" t="s">
        <v>79</v>
      </c>
      <c r="G18" s="41" t="s">
        <v>80</v>
      </c>
      <c r="H18" s="39" t="s">
        <v>81</v>
      </c>
      <c r="I18" s="39" t="s">
        <v>82</v>
      </c>
    </row>
    <row r="19" ht="24.0" customHeight="1">
      <c r="A19" s="42" t="s">
        <v>83</v>
      </c>
      <c r="B19" s="43" t="s">
        <v>84</v>
      </c>
      <c r="C19" s="32">
        <v>1.0</v>
      </c>
      <c r="D19" s="33">
        <v>18.0</v>
      </c>
      <c r="E19" s="34">
        <f t="shared" si="1"/>
        <v>18</v>
      </c>
      <c r="F19" s="44" t="s">
        <v>85</v>
      </c>
      <c r="G19" s="45" t="s">
        <v>86</v>
      </c>
      <c r="H19" s="43" t="s">
        <v>87</v>
      </c>
      <c r="I19" s="43" t="s">
        <v>88</v>
      </c>
    </row>
    <row r="20" ht="24.0" customHeight="1">
      <c r="A20" s="38" t="s">
        <v>89</v>
      </c>
      <c r="B20" s="39" t="s">
        <v>90</v>
      </c>
      <c r="C20" s="24">
        <v>1.0</v>
      </c>
      <c r="D20" s="25">
        <v>28.0</v>
      </c>
      <c r="E20" s="26">
        <f t="shared" si="1"/>
        <v>28</v>
      </c>
      <c r="F20" s="40" t="s">
        <v>91</v>
      </c>
      <c r="G20" s="41" t="s">
        <v>92</v>
      </c>
      <c r="H20" s="39" t="s">
        <v>93</v>
      </c>
      <c r="I20" s="39" t="s">
        <v>94</v>
      </c>
    </row>
    <row r="21" ht="24.0" customHeight="1">
      <c r="A21" s="42" t="s">
        <v>95</v>
      </c>
      <c r="B21" s="43" t="s">
        <v>96</v>
      </c>
      <c r="C21" s="32">
        <v>10.0</v>
      </c>
      <c r="D21" s="33">
        <v>0.51</v>
      </c>
      <c r="E21" s="34">
        <f t="shared" si="1"/>
        <v>5.1</v>
      </c>
      <c r="F21" s="44" t="s">
        <v>97</v>
      </c>
      <c r="G21" s="45" t="s">
        <v>98</v>
      </c>
      <c r="H21" s="43" t="s">
        <v>99</v>
      </c>
      <c r="I21" s="43" t="s">
        <v>100</v>
      </c>
    </row>
    <row r="22" ht="24.0" customHeight="1">
      <c r="A22" s="46" t="s">
        <v>101</v>
      </c>
      <c r="B22" s="47" t="s">
        <v>102</v>
      </c>
      <c r="C22" s="24">
        <v>1.0</v>
      </c>
      <c r="D22" s="25">
        <v>49.0</v>
      </c>
      <c r="E22" s="26">
        <f t="shared" si="1"/>
        <v>49</v>
      </c>
      <c r="F22" s="40" t="s">
        <v>103</v>
      </c>
      <c r="G22" s="47" t="s">
        <v>104</v>
      </c>
      <c r="H22" s="47" t="s">
        <v>105</v>
      </c>
      <c r="I22" s="47" t="s">
        <v>106</v>
      </c>
    </row>
    <row r="23" ht="24.0" customHeight="1">
      <c r="A23" s="48" t="s">
        <v>107</v>
      </c>
      <c r="B23" s="49" t="s">
        <v>108</v>
      </c>
      <c r="C23" s="32">
        <v>1.0</v>
      </c>
      <c r="D23" s="33">
        <v>49.0</v>
      </c>
      <c r="E23" s="34">
        <f t="shared" si="1"/>
        <v>49</v>
      </c>
      <c r="F23" s="44" t="s">
        <v>109</v>
      </c>
      <c r="G23" s="49" t="s">
        <v>110</v>
      </c>
      <c r="H23" s="49" t="s">
        <v>111</v>
      </c>
      <c r="I23" s="49" t="s">
        <v>112</v>
      </c>
    </row>
    <row r="24" ht="24.0" customHeight="1">
      <c r="A24" s="50" t="s">
        <v>113</v>
      </c>
      <c r="B24" s="51"/>
      <c r="C24" s="52">
        <f>SUM(C8:C23)</f>
        <v>32</v>
      </c>
      <c r="D24" s="51"/>
      <c r="E24" s="53">
        <f>SUM(E8:E23)</f>
        <v>6597.1</v>
      </c>
      <c r="F24" s="54"/>
      <c r="G24" s="55"/>
      <c r="H24" s="54"/>
      <c r="I24" s="54"/>
    </row>
  </sheetData>
  <hyperlinks>
    <hyperlink r:id="rId1" ref="C2"/>
    <hyperlink r:id="rId2" ref="F8"/>
    <hyperlink r:id="rId3" ref="F9"/>
    <hyperlink r:id="rId4" ref="F10"/>
    <hyperlink r:id="rId5" ref="F11"/>
    <hyperlink r:id="rId6" ref="F12"/>
    <hyperlink r:id="rId7" ref="F13"/>
    <hyperlink r:id="rId8" ref="F14"/>
    <hyperlink r:id="rId9" ref="F15"/>
    <hyperlink r:id="rId10" ref="F16"/>
    <hyperlink r:id="rId11" ref="F17"/>
    <hyperlink r:id="rId12" ref="F18"/>
    <hyperlink r:id="rId13" ref="F19"/>
    <hyperlink r:id="rId14" ref="F20"/>
    <hyperlink r:id="rId15" ref="F21"/>
    <hyperlink r:id="rId16" ref="F22"/>
    <hyperlink r:id="rId17" ref="F23"/>
  </hyperlinks>
  <printOptions gridLines="1" horizontalCentered="1"/>
  <pageMargins bottom="0.75" footer="0.0" header="0.0" left="0.7" right="0.7" top="0.75"/>
  <pageSetup paperSize="9" cellComments="atEnd" orientation="landscape" pageOrder="overThenDown"/>
  <drawing r:id="rId18"/>
</worksheet>
</file>