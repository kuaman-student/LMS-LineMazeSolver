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udget" sheetId="1" r:id="rId5"/>
    <sheet state="visible" name="Runtime &amp; Chemistry" sheetId="2" r:id="rId6"/>
  </sheets>
  <definedNames/>
  <calcPr/>
</workbook>
</file>

<file path=xl/sharedStrings.xml><?xml version="1.0" encoding="utf-8"?>
<sst xmlns="http://schemas.openxmlformats.org/spreadsheetml/2006/main" count="90" uniqueCount="90">
  <si>
    <t>BATTERY RUNTIME DERIVATIONS &amp; CHEMISTRY BENCHMARK</t>
  </si>
  <si>
    <t>TECHFEST MESHMERIZE — POWER BUDGET ARCHITECTURE</t>
  </si>
  <si>
    <t>Mathematical Derivations with 0.75 Derating Factor and LiPo vs. Li-ion 18650 Trade-off</t>
  </si>
  <si>
    <t>System Current Draw Estimation, Subsystem Tiers &amp; Battery Sizing | Target: ESP32 + TB6612FNG + N20 + QTR-8A</t>
  </si>
  <si>
    <t>1. RUNTIME ESTIMATION (Capacity = 1500 mAh, Nominal Voltage = 7.4 V, Derating = 0.75)</t>
  </si>
  <si>
    <t>Battery Chemistry &amp; Pack Spec</t>
  </si>
  <si>
    <t>Operating State</t>
  </si>
  <si>
    <t>System Current (mA)</t>
  </si>
  <si>
    <t>Derating Factor (η)</t>
  </si>
  <si>
    <t>Idle Current (Stopped)</t>
  </si>
  <si>
    <t>Effective Usable Cap (mAh)</t>
  </si>
  <si>
    <t>Runtime (Hours)</t>
  </si>
  <si>
    <t>Runtime (Minutes)</t>
  </si>
  <si>
    <t>Meshmerize Runs Equivalent</t>
  </si>
  <si>
    <t>Nominal Current (Active)</t>
  </si>
  <si>
    <t>Worst-Case Stall Current</t>
  </si>
  <si>
    <t>Est. Runtime (Nominal)</t>
  </si>
  <si>
    <t>Standby / Idle (Start Line)</t>
  </si>
  <si>
    <t>Orange 7.4V 2S 1500mAh 25C LiPo (11.10 Wh)</t>
  </si>
  <si>
    <t>182.5 mA (0.18 A)</t>
  </si>
  <si>
    <t>617.5 mA (0.62 A)</t>
  </si>
  <si>
    <t>2,270.2 mA (2.27 A)</t>
  </si>
  <si>
    <t>1.82 Hours (109.3 Mins)</t>
  </si>
  <si>
    <t>Subsystem / Component</t>
  </si>
  <si>
    <t>Operating Rail</t>
  </si>
  <si>
    <t>Qty</t>
  </si>
  <si>
    <t>Idle Current (mA)</t>
  </si>
  <si>
    <t>Nominal Current (mA)</t>
  </si>
  <si>
    <t>Worst-Case Stall (mA)</t>
  </si>
  <si>
    <t>Power @ Nom (W)</t>
  </si>
  <si>
    <t>Notes &amp; Operating Conditions</t>
  </si>
  <si>
    <t>ESP32-WROOM-32 DevKit</t>
  </si>
  <si>
    <t>3.3V (via Buck)</t>
  </si>
  <si>
    <t>Base CPU active; nominal = dual core + ADC @ 200Hz; peak = RF burst</t>
  </si>
  <si>
    <t>Pololu QTR-8A Sensor Array</t>
  </si>
  <si>
    <t>N/A (Holding pattern)</t>
  </si>
  <si>
    <t>5.0V (via Buck)</t>
  </si>
  <si>
    <t>Nominal Active (Maze Solving)</t>
  </si>
  <si>
    <t>~36 Competition Runs (3 min each)</t>
  </si>
  <si>
    <t>Worst-Case Continuous Stall</t>
  </si>
  <si>
    <t>8 IR phototransistor/LED pairs continuous; constant current emitter drive</t>
  </si>
  <si>
    <t>TB6612FNG Dual Driver (Logic)</t>
  </si>
  <si>
    <t>3.3V Logic</t>
  </si>
  <si>
    <t>~10 Full-Stall Cycles (Emergency)</t>
  </si>
  <si>
    <t>2. BATTERY CHEMISTRY TRADE-OFF MATRIX (LiPo vs. Li-ion 18650)</t>
  </si>
  <si>
    <t>Quiescent logic current VCC; motor coil current drawn from VM rail</t>
  </si>
  <si>
    <t>Evaluation Metric</t>
  </si>
  <si>
    <t>Orange 7.4V 2S 1500mAh LiPo (Selected)</t>
  </si>
  <si>
    <t>GA12-N20 Motors (6V 500RPM)</t>
  </si>
  <si>
    <t>2x 18650 Li-ion in Series (Rejected)</t>
  </si>
  <si>
    <t>7.4V (PWM VM)</t>
  </si>
  <si>
    <t>Engineering Impact &amp; Rationale</t>
  </si>
  <si>
    <t>Form Factor &amp; Construction</t>
  </si>
  <si>
    <t>Flexible aluminum-polymer pouch pack</t>
  </si>
  <si>
    <t>Rigid cylindrical steel cans (18x65mm)</t>
  </si>
  <si>
    <t>LiPo flat pouch mounts low; 18650 makes robot top-heavy</t>
  </si>
  <si>
    <t>Idle=0 (stopped); Nominal=180mA/motor rolling; Stall=950mA/motor blocked</t>
  </si>
  <si>
    <t>Discharge C-Rating</t>
  </si>
  <si>
    <t>MP1584EN Buck Converter</t>
  </si>
  <si>
    <t>25C Continuous (37.5 A)</t>
  </si>
  <si>
    <t>7.4V to 5.0V</t>
  </si>
  <si>
    <t>1C - 2C Typical (~3.0 A - 5.0 A)</t>
  </si>
  <si>
    <t>LiPo offers 16.5x safety headroom; 18650 operates near limit</t>
  </si>
  <si>
    <t>Internal Resistance (R_int)</t>
  </si>
  <si>
    <t>Ultra-low: ~15 mΩ (0.015 Ω)</t>
  </si>
  <si>
    <t>Switching quiescent current &amp; internal thermal dissipation loss (~90% eff)</t>
  </si>
  <si>
    <t>High: ~190 mΩ (cells + sled springs)</t>
  </si>
  <si>
    <t>High R_int causes voltage drop during motor acceleration bursts</t>
  </si>
  <si>
    <t>Cree 5mm Red End-Zone LED</t>
  </si>
  <si>
    <t>3.3V (220Ω)</t>
  </si>
  <si>
    <t>Worst-Case Voltage Sag (ΔV)</t>
  </si>
  <si>
    <t>0.034 V (Negligible)</t>
  </si>
  <si>
    <t>0.431 V (Dangerous)</t>
  </si>
  <si>
    <t>18650 sag risks triggering ESP32 brownout reset detector</t>
  </si>
  <si>
    <t>Total Pack + Mount Mass</t>
  </si>
  <si>
    <t>~85 grams total</t>
  </si>
  <si>
    <t>~120 grams (cells + sled holder)</t>
  </si>
  <si>
    <t>LiPo saves ~35g (30% lighter), reducing turn inertia at 500 RPM</t>
  </si>
  <si>
    <t>Rule 3 bonus LED; idle=OFF; nom=duty cycle average; peak=continuous ON</t>
  </si>
  <si>
    <t>Vibration Reliability</t>
  </si>
  <si>
    <t>Soldered XT60 pigtail with silicone lead</t>
  </si>
  <si>
    <t>Mechanical spring clips in plastic sled</t>
  </si>
  <si>
    <t>TOTAL SYSTEM CURRENT</t>
  </si>
  <si>
    <t>Arena vibrations cause spring bounce and momentary disconnects</t>
  </si>
  <si>
    <t>Unit Cost &amp; Sourcing</t>
  </si>
  <si>
    <t>₹1,239 (BOM compliant, high performance)</t>
  </si>
  <si>
    <t>7.4V Battery Rail</t>
  </si>
  <si>
    <t>₹600 - ₹700 (Cheaper cells + accessories)</t>
  </si>
  <si>
    <t>Small savings don't justify high brownout risk and extra weight</t>
  </si>
  <si>
    <t>Worst-case peak load = 2.27 A (Well within 37.5 A battery limit)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</si>
</sst>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0">
    <font>
      <sz val="11.0"/>
      <color theme="1"/>
      <name val="Calibri"/>
      <scheme val="minor"/>
    </font>
    <font>
      <b/>
      <sz val="15.0"/>
      <color rgb="FF1B365D"/>
      <name val="Calibri"/>
    </font>
    <font>
      <i/>
      <sz val="11.0"/>
      <color rgb="FF595959"/>
      <name val="Calibri"/>
    </font>
    <font>
      <b/>
      <sz val="10.0"/>
      <color theme="1"/>
      <name val="Calibri"/>
    </font>
    <font>
      <b/>
      <sz val="11.0"/>
      <color rgb="FFFFFFFF"/>
      <name val="Calibri"/>
    </font>
    <font>
      <sz val="9.0"/>
      <color rgb="FF595959"/>
      <name val="Calibri"/>
    </font>
    <font/>
    <font>
      <sz val="10.0"/>
      <color theme="1"/>
      <name val="Calibri"/>
    </font>
    <font>
      <b/>
      <sz val="13.0"/>
      <color rgb="FF1B365D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8EEF5"/>
        <bgColor rgb="FFE8EEF5"/>
      </patternFill>
    </fill>
    <fill>
      <patternFill patternType="solid">
        <fgColor rgb="FFF9FBFD"/>
        <bgColor rgb="FFF9FBFD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1B365D"/>
      </top>
      <bottom style="double">
        <color rgb="FF1B365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1" fillId="3" fontId="5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2" fillId="3" fontId="8" numFmtId="0" xfId="0" applyAlignment="1" applyBorder="1" applyFill="1" applyFont="1">
      <alignment horizontal="center" vertical="center"/>
    </xf>
    <xf borderId="1" fillId="0" fontId="7" numFmtId="164" xfId="0" applyAlignment="1" applyBorder="1" applyFont="1" applyNumberFormat="1">
      <alignment horizontal="right" vertical="center"/>
    </xf>
    <xf borderId="1" fillId="3" fontId="8" numFmtId="0" xfId="0" applyAlignment="1" applyBorder="1" applyFill="1" applyFont="1">
      <alignment horizontal="center" vertical="center"/>
    </xf>
    <xf borderId="1" fillId="0" fontId="7" numFmtId="2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2" xfId="0" applyAlignment="1" applyBorder="1" applyFont="1" applyNumberFormat="1">
      <alignment horizontal="right" vertical="center"/>
    </xf>
    <xf borderId="1" fillId="4" fontId="7" numFmtId="0" xfId="0" applyAlignment="1" applyBorder="1" applyFill="1" applyFont="1">
      <alignment horizontal="left" vertical="center"/>
    </xf>
    <xf borderId="1" fillId="4" fontId="7" numFmtId="0" xfId="0" applyAlignment="1" applyBorder="1" applyFill="1" applyFont="1">
      <alignment horizontal="center" vertical="center"/>
    </xf>
    <xf borderId="1" fillId="4" fontId="7" numFmtId="164" xfId="0" applyAlignment="1" applyBorder="1" applyFill="1" applyFont="1" applyNumberFormat="1">
      <alignment horizontal="right" vertical="center"/>
    </xf>
    <xf borderId="1" fillId="4" fontId="7" numFmtId="2" xfId="0" applyAlignment="1" applyBorder="1" applyFill="1" applyFont="1" applyNumberFormat="1">
      <alignment horizontal="right" vertical="center"/>
    </xf>
    <xf borderId="4" fillId="5" fontId="3" numFmtId="0" xfId="0" applyAlignment="1" applyBorder="1" applyFill="1" applyFont="1">
      <alignment vertical="center"/>
    </xf>
    <xf borderId="4" fillId="5" fontId="3" numFmtId="164" xfId="0" applyAlignment="1" applyBorder="1" applyFill="1" applyFont="1" applyNumberFormat="1">
      <alignment horizontal="right" vertical="center"/>
    </xf>
    <xf borderId="4" fillId="5" fontId="3" numFmtId="2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8.0"/>
    <col customWidth="1" min="4" max="4" width="18.0"/>
    <col customWidth="1" min="5" max="6" width="20.0"/>
    <col customWidth="1" min="7" max="7" width="16.0"/>
    <col customWidth="1" min="8" max="8" width="61.29"/>
    <col customWidth="1" min="9" max="26" width="8.71"/>
  </cols>
  <sheetData>
    <row r="1">
      <c r="A1" s="1" t="s">
        <v>1</v>
      </c>
    </row>
    <row r="2">
      <c r="A2" s="2" t="s">
        <v>3</v>
      </c>
    </row>
    <row r="4">
      <c r="A4" s="5" t="s">
        <v>5</v>
      </c>
      <c r="B4" s="6"/>
      <c r="C4" s="7" t="s">
        <v>9</v>
      </c>
      <c r="D4" s="7" t="s">
        <v>14</v>
      </c>
      <c r="E4" s="7" t="s">
        <v>15</v>
      </c>
      <c r="F4" s="7" t="s">
        <v>16</v>
      </c>
    </row>
    <row r="5">
      <c r="A5" s="9" t="s">
        <v>18</v>
      </c>
      <c r="B5" s="6"/>
      <c r="C5" s="11" t="s">
        <v>19</v>
      </c>
      <c r="D5" s="11" t="s">
        <v>20</v>
      </c>
      <c r="E5" s="11" t="s">
        <v>21</v>
      </c>
      <c r="F5" s="11" t="s">
        <v>22</v>
      </c>
    </row>
    <row r="7" ht="27.75" customHeight="1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</row>
    <row r="8" ht="21.75" customHeight="1">
      <c r="A8" s="8" t="s">
        <v>31</v>
      </c>
      <c r="B8" s="8" t="s">
        <v>32</v>
      </c>
      <c r="C8" s="13">
        <v>1.0</v>
      </c>
      <c r="D8" s="10">
        <v>80.0</v>
      </c>
      <c r="E8" s="10">
        <v>140.0</v>
      </c>
      <c r="F8" s="10">
        <v>240.0</v>
      </c>
      <c r="G8" s="14">
        <f>E8*3.3/1000</f>
        <v>0.462</v>
      </c>
      <c r="H8" s="8" t="s">
        <v>33</v>
      </c>
    </row>
    <row r="9" ht="21.75" customHeight="1">
      <c r="A9" s="15" t="s">
        <v>34</v>
      </c>
      <c r="B9" s="15" t="s">
        <v>36</v>
      </c>
      <c r="C9" s="16">
        <v>1.0</v>
      </c>
      <c r="D9" s="17">
        <v>100.0</v>
      </c>
      <c r="E9" s="17">
        <v>100.0</v>
      </c>
      <c r="F9" s="17">
        <v>100.0</v>
      </c>
      <c r="G9" s="18">
        <f>E9*5/1000</f>
        <v>0.5</v>
      </c>
      <c r="H9" s="15" t="s">
        <v>40</v>
      </c>
    </row>
    <row r="10" ht="21.75" customHeight="1">
      <c r="A10" s="8" t="s">
        <v>41</v>
      </c>
      <c r="B10" s="8" t="s">
        <v>42</v>
      </c>
      <c r="C10" s="13">
        <v>1.0</v>
      </c>
      <c r="D10" s="10">
        <v>1.5</v>
      </c>
      <c r="E10" s="10">
        <v>2.0</v>
      </c>
      <c r="F10" s="10">
        <v>2.0</v>
      </c>
      <c r="G10" s="14">
        <f>E10*3.3/1000</f>
        <v>0.0066</v>
      </c>
      <c r="H10" s="8" t="s">
        <v>45</v>
      </c>
    </row>
    <row r="11" ht="21.75" customHeight="1">
      <c r="A11" s="15" t="s">
        <v>48</v>
      </c>
      <c r="B11" s="15" t="s">
        <v>50</v>
      </c>
      <c r="C11" s="16">
        <v>2.0</v>
      </c>
      <c r="D11" s="17">
        <v>0.0</v>
      </c>
      <c r="E11" s="17">
        <v>360.0</v>
      </c>
      <c r="F11" s="17">
        <v>1900.0</v>
      </c>
      <c r="G11" s="18">
        <f t="shared" ref="G11:G12" si="1">E11*7.4/1000</f>
        <v>2.664</v>
      </c>
      <c r="H11" s="15" t="s">
        <v>56</v>
      </c>
    </row>
    <row r="12" ht="21.75" customHeight="1">
      <c r="A12" s="8" t="s">
        <v>58</v>
      </c>
      <c r="B12" s="8" t="s">
        <v>60</v>
      </c>
      <c r="C12" s="13">
        <v>1.0</v>
      </c>
      <c r="D12" s="10">
        <v>1.0</v>
      </c>
      <c r="E12" s="10">
        <v>10.0</v>
      </c>
      <c r="F12" s="10">
        <v>15.0</v>
      </c>
      <c r="G12" s="14">
        <f t="shared" si="1"/>
        <v>0.074</v>
      </c>
      <c r="H12" s="8" t="s">
        <v>65</v>
      </c>
    </row>
    <row r="13" ht="21.75" customHeight="1">
      <c r="A13" s="15" t="s">
        <v>68</v>
      </c>
      <c r="B13" s="15" t="s">
        <v>69</v>
      </c>
      <c r="C13" s="16">
        <v>1.0</v>
      </c>
      <c r="D13" s="17">
        <v>0.0</v>
      </c>
      <c r="E13" s="17">
        <v>5.5</v>
      </c>
      <c r="F13" s="17">
        <v>13.2</v>
      </c>
      <c r="G13" s="18">
        <f>E13*3.3/1000</f>
        <v>0.01815</v>
      </c>
      <c r="H13" s="15" t="s">
        <v>78</v>
      </c>
    </row>
    <row r="14" ht="25.5" customHeight="1">
      <c r="A14" s="19" t="s">
        <v>82</v>
      </c>
      <c r="B14" s="19" t="s">
        <v>86</v>
      </c>
      <c r="C14" s="19">
        <v>7.0</v>
      </c>
      <c r="D14" s="20">
        <f t="shared" ref="D14:G14" si="2">SUM(D8:D13)</f>
        <v>182.5</v>
      </c>
      <c r="E14" s="20">
        <f t="shared" si="2"/>
        <v>617.5</v>
      </c>
      <c r="F14" s="20">
        <f t="shared" si="2"/>
        <v>2270.2</v>
      </c>
      <c r="G14" s="21">
        <f t="shared" si="2"/>
        <v>3.72475</v>
      </c>
      <c r="H14" s="19" t="s">
        <v>89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B4"/>
    <mergeCell ref="A5:B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34.71"/>
    <col customWidth="1" min="3" max="3" width="32.71"/>
    <col customWidth="1" min="4" max="4" width="30.0"/>
    <col customWidth="1" min="5" max="6" width="16.0"/>
    <col customWidth="1" min="7" max="7" width="32.0"/>
    <col customWidth="1" min="8" max="26" width="8.71"/>
  </cols>
  <sheetData>
    <row r="1">
      <c r="A1" s="1" t="s">
        <v>0</v>
      </c>
    </row>
    <row r="2">
      <c r="A2" s="2" t="s">
        <v>2</v>
      </c>
    </row>
    <row r="4">
      <c r="A4" s="3" t="s">
        <v>4</v>
      </c>
    </row>
    <row r="5">
      <c r="A5" s="4" t="s">
        <v>6</v>
      </c>
      <c r="B5" s="4" t="s">
        <v>7</v>
      </c>
      <c r="C5" s="4" t="s">
        <v>8</v>
      </c>
      <c r="D5" s="4" t="s">
        <v>10</v>
      </c>
      <c r="E5" s="4" t="s">
        <v>11</v>
      </c>
      <c r="F5" s="4" t="s">
        <v>12</v>
      </c>
      <c r="G5" s="4" t="s">
        <v>13</v>
      </c>
    </row>
    <row r="6" ht="19.5" customHeight="1">
      <c r="A6" s="8" t="s">
        <v>17</v>
      </c>
      <c r="B6" s="10">
        <v>182.5</v>
      </c>
      <c r="C6" s="12">
        <v>0.75</v>
      </c>
      <c r="D6" s="10">
        <v>1125.0</v>
      </c>
      <c r="E6" s="14">
        <f t="shared" ref="E6:E8" si="1">D6/B6</f>
        <v>6.164383562</v>
      </c>
      <c r="F6" s="10">
        <f t="shared" ref="F6:F8" si="2">E6*60</f>
        <v>369.8630137</v>
      </c>
      <c r="G6" s="13" t="s">
        <v>35</v>
      </c>
    </row>
    <row r="7" ht="19.5" customHeight="1">
      <c r="A7" s="8" t="s">
        <v>37</v>
      </c>
      <c r="B7" s="10">
        <v>617.5</v>
      </c>
      <c r="C7" s="12">
        <v>0.75</v>
      </c>
      <c r="D7" s="10">
        <v>1125.0</v>
      </c>
      <c r="E7" s="14">
        <f t="shared" si="1"/>
        <v>1.821862348</v>
      </c>
      <c r="F7" s="10">
        <f t="shared" si="2"/>
        <v>109.3117409</v>
      </c>
      <c r="G7" s="13" t="s">
        <v>38</v>
      </c>
    </row>
    <row r="8" ht="19.5" customHeight="1">
      <c r="A8" s="8" t="s">
        <v>39</v>
      </c>
      <c r="B8" s="10">
        <v>2270.2</v>
      </c>
      <c r="C8" s="12">
        <v>0.75</v>
      </c>
      <c r="D8" s="10">
        <v>1125.0</v>
      </c>
      <c r="E8" s="14">
        <f t="shared" si="1"/>
        <v>0.4955510528</v>
      </c>
      <c r="F8" s="10">
        <f t="shared" si="2"/>
        <v>29.73306317</v>
      </c>
      <c r="G8" s="13" t="s">
        <v>43</v>
      </c>
    </row>
    <row r="11">
      <c r="A11" s="3" t="s">
        <v>44</v>
      </c>
    </row>
    <row r="12">
      <c r="A12" s="4" t="s">
        <v>46</v>
      </c>
      <c r="B12" s="4" t="s">
        <v>47</v>
      </c>
      <c r="C12" s="4" t="s">
        <v>49</v>
      </c>
      <c r="D12" s="4" t="s">
        <v>51</v>
      </c>
    </row>
    <row r="13">
      <c r="A13" s="8" t="s">
        <v>52</v>
      </c>
      <c r="B13" s="8" t="s">
        <v>53</v>
      </c>
      <c r="C13" s="8" t="s">
        <v>54</v>
      </c>
      <c r="D13" s="8" t="s">
        <v>55</v>
      </c>
    </row>
    <row r="14" ht="21.75" customHeight="1">
      <c r="A14" s="15" t="s">
        <v>57</v>
      </c>
      <c r="B14" s="15" t="s">
        <v>59</v>
      </c>
      <c r="C14" s="15" t="s">
        <v>61</v>
      </c>
      <c r="D14" s="15" t="s">
        <v>62</v>
      </c>
    </row>
    <row r="15" ht="21.75" customHeight="1">
      <c r="A15" s="8" t="s">
        <v>63</v>
      </c>
      <c r="B15" s="8" t="s">
        <v>64</v>
      </c>
      <c r="C15" s="8" t="s">
        <v>66</v>
      </c>
      <c r="D15" s="8" t="s">
        <v>67</v>
      </c>
    </row>
    <row r="16" ht="21.75" customHeight="1">
      <c r="A16" s="15" t="s">
        <v>70</v>
      </c>
      <c r="B16" s="15" t="s">
        <v>71</v>
      </c>
      <c r="C16" s="15" t="s">
        <v>72</v>
      </c>
      <c r="D16" s="15" t="s">
        <v>73</v>
      </c>
    </row>
    <row r="17" ht="21.75" customHeight="1">
      <c r="A17" s="8" t="s">
        <v>74</v>
      </c>
      <c r="B17" s="8" t="s">
        <v>75</v>
      </c>
      <c r="C17" s="8" t="s">
        <v>76</v>
      </c>
      <c r="D17" s="8" t="s">
        <v>77</v>
      </c>
    </row>
    <row r="18" ht="21.75" customHeight="1">
      <c r="A18" s="15" t="s">
        <v>79</v>
      </c>
      <c r="B18" s="15" t="s">
        <v>80</v>
      </c>
      <c r="C18" s="15" t="s">
        <v>81</v>
      </c>
      <c r="D18" s="15" t="s">
        <v>83</v>
      </c>
    </row>
    <row r="19" ht="21.75" customHeight="1">
      <c r="A19" s="8" t="s">
        <v>84</v>
      </c>
      <c r="B19" s="8" t="s">
        <v>85</v>
      </c>
      <c r="C19" s="8" t="s">
        <v>87</v>
      </c>
      <c r="D19" s="8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